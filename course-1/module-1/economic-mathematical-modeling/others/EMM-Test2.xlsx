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az/Desktop/"/>
    </mc:Choice>
  </mc:AlternateContent>
  <xr:revisionPtr revIDLastSave="0" documentId="13_ncr:1_{683086A1-D05C-9041-871D-51EBF3FC0F63}" xr6:coauthVersionLast="45" xr6:coauthVersionMax="45" xr10:uidLastSave="{00000000-0000-0000-0000-000000000000}"/>
  <bookViews>
    <workbookView xWindow="0" yWindow="0" windowWidth="33600" windowHeight="21000" activeTab="1" xr2:uid="{FDB4EF7E-9F37-2C4E-ABE2-20D48D6EE010}"/>
  </bookViews>
  <sheets>
    <sheet name="Task_5" sheetId="1" r:id="rId1"/>
    <sheet name="Task_6" sheetId="2" r:id="rId2"/>
    <sheet name="Task_7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9" i="5" l="1"/>
  <c r="B8" i="5"/>
  <c r="B7" i="5"/>
  <c r="C5" i="5"/>
  <c r="D5" i="5"/>
  <c r="B5" i="5"/>
  <c r="D3" i="5"/>
  <c r="A5" i="4" l="1"/>
  <c r="B23" i="3"/>
  <c r="B22" i="3"/>
  <c r="B21" i="3"/>
  <c r="C17" i="3"/>
  <c r="D17" i="3"/>
  <c r="E17" i="3"/>
  <c r="B17" i="3"/>
  <c r="B8" i="1"/>
  <c r="C7" i="1"/>
  <c r="B6" i="1"/>
  <c r="B7" i="1" s="1"/>
  <c r="B1" i="1"/>
  <c r="C14" i="3"/>
  <c r="C16" i="3" s="1"/>
  <c r="D14" i="3"/>
  <c r="D16" i="3" s="1"/>
  <c r="E14" i="3"/>
  <c r="E16" i="3" s="1"/>
  <c r="B14" i="3"/>
  <c r="B16" i="3" s="1"/>
  <c r="B10" i="2"/>
  <c r="C9" i="2"/>
  <c r="D9" i="2"/>
  <c r="E9" i="2"/>
  <c r="B9" i="2"/>
  <c r="E8" i="2"/>
  <c r="C8" i="2"/>
  <c r="D8" i="2"/>
  <c r="B8" i="2"/>
  <c r="D7" i="1"/>
  <c r="E15" i="3" l="1"/>
  <c r="D15" i="3"/>
  <c r="C15" i="3"/>
  <c r="B15" i="3"/>
  <c r="C8" i="1"/>
</calcChain>
</file>

<file path=xl/sharedStrings.xml><?xml version="1.0" encoding="utf-8"?>
<sst xmlns="http://schemas.openxmlformats.org/spreadsheetml/2006/main" count="47" uniqueCount="42">
  <si>
    <t>Coupon</t>
  </si>
  <si>
    <t>YTM</t>
  </si>
  <si>
    <t>Dur</t>
  </si>
  <si>
    <t>CF</t>
  </si>
  <si>
    <t>Year</t>
  </si>
  <si>
    <t>PV</t>
  </si>
  <si>
    <t>NPV</t>
  </si>
  <si>
    <t>Bond</t>
  </si>
  <si>
    <t>Coupon rate</t>
  </si>
  <si>
    <t>Face Value</t>
  </si>
  <si>
    <t>Discount rate</t>
  </si>
  <si>
    <t>ICF</t>
  </si>
  <si>
    <t>Price=</t>
  </si>
  <si>
    <t>Risk free return</t>
  </si>
  <si>
    <t>RA</t>
  </si>
  <si>
    <t>BA</t>
  </si>
  <si>
    <t>RB</t>
  </si>
  <si>
    <t>BB</t>
  </si>
  <si>
    <t>CorrAB</t>
  </si>
  <si>
    <t>A</t>
  </si>
  <si>
    <t>Util Func</t>
  </si>
  <si>
    <t>r - A / 2 * b^2</t>
  </si>
  <si>
    <t>CASE 1</t>
  </si>
  <si>
    <t>CASE 2</t>
  </si>
  <si>
    <t>CASE 3</t>
  </si>
  <si>
    <t>CASE 4</t>
  </si>
  <si>
    <t>wa</t>
  </si>
  <si>
    <t>wb</t>
  </si>
  <si>
    <t>Sharp ratio</t>
  </si>
  <si>
    <t>Sp1</t>
  </si>
  <si>
    <t>Sp2</t>
  </si>
  <si>
    <t>?</t>
  </si>
  <si>
    <t>r</t>
  </si>
  <si>
    <t>MAX</t>
  </si>
  <si>
    <t>MAX UT FUCT</t>
  </si>
  <si>
    <t>w</t>
  </si>
  <si>
    <t>a</t>
  </si>
  <si>
    <t>b</t>
  </si>
  <si>
    <t>R=</t>
  </si>
  <si>
    <t>N</t>
  </si>
  <si>
    <t>Rf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</si>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</sst>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0.00000%"/>
    <numFmt numFmtId="168" formatCode="0.00000000000000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0" fillId="0" borderId="0" xfId="0" applyNumberFormat="1"/>
    <xf numFmtId="9" fontId="0" fillId="0" borderId="0" xfId="2" applyFont="1" applyAlignment="1">
      <alignment horizontal="right"/>
    </xf>
    <xf numFmtId="0" fontId="0" fillId="0" borderId="0" xfId="0" applyAlignment="1">
      <alignment horizontal="right"/>
    </xf>
    <xf numFmtId="167" fontId="0" fillId="0" borderId="0" xfId="0" applyNumberFormat="1"/>
    <xf numFmtId="16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CB0C-4ED7-EA4C-B8CB-B76C3B572DAB}">
  <dimension ref="A1:XFD10"/>
  <sheetViews>
    <sheetView workbookViewId="0">
      <selection activeCell="G17" sqref="G17"/>
    </sheetView>
  </sheetViews>
  <sheetFormatPr baseColWidth="10" defaultRowHeight="16" x14ac:dyDescent="0.2"/>
  <sheetData>
    <row r="1" spans="1:8 16384:16384" x14ac:dyDescent="0.2">
      <c r="A1" t="s">
        <v>0</v>
      </c>
      <c r="B1" s="2">
        <f>300*0.05</f>
        <v>15</v>
      </c>
    </row>
    <row r="2" spans="1:8 16384:16384" x14ac:dyDescent="0.2">
      <c r="A2" t="s">
        <v>1</v>
      </c>
      <c r="B2" s="1">
        <v>0.11</v>
      </c>
    </row>
    <row r="3" spans="1:8 16384:16384" x14ac:dyDescent="0.2">
      <c r="A3" t="s">
        <v>2</v>
      </c>
      <c r="B3">
        <v>3</v>
      </c>
    </row>
    <row r="5" spans="1:8 16384:16384" x14ac:dyDescent="0.2">
      <c r="A5" t="s">
        <v>4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</row>
    <row r="6" spans="1:8 16384:16384" x14ac:dyDescent="0.2">
      <c r="A6" t="s">
        <v>3</v>
      </c>
      <c r="B6" s="3">
        <f>B1</f>
        <v>15</v>
      </c>
      <c r="C6" s="3">
        <v>15</v>
      </c>
      <c r="D6" s="3">
        <v>315</v>
      </c>
      <c r="XFD6">
        <v>99</v>
      </c>
    </row>
    <row r="7" spans="1:8 16384:16384" x14ac:dyDescent="0.2">
      <c r="A7" t="s">
        <v>5</v>
      </c>
      <c r="B7">
        <f>B6/(1+$B$2)^B5</f>
        <v>13.513513513513512</v>
      </c>
      <c r="C7">
        <f t="shared" ref="C7:H7" si="0">C6/(1+$B$2)^C5</f>
        <v>12.174336498660821</v>
      </c>
      <c r="D7">
        <f t="shared" si="0"/>
        <v>230.3252851097993</v>
      </c>
    </row>
    <row r="8" spans="1:8 16384:16384" x14ac:dyDescent="0.2">
      <c r="A8" t="s">
        <v>6</v>
      </c>
      <c r="B8">
        <f>SUM(B7:D7)</f>
        <v>256.01313512197362</v>
      </c>
      <c r="C8">
        <f>SUM(C7:H7)</f>
        <v>242.49962160846013</v>
      </c>
    </row>
    <row r="10" spans="1:8 16384:16384" x14ac:dyDescent="0.2">
      <c r="C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373E-D714-FE46-B45A-4E26E6C380F1}">
  <dimension ref="A1:E10"/>
  <sheetViews>
    <sheetView tabSelected="1" workbookViewId="0">
      <selection activeCell="E17" sqref="E17"/>
    </sheetView>
  </sheetViews>
  <sheetFormatPr baseColWidth="10" defaultRowHeight="16" x14ac:dyDescent="0.2"/>
  <cols>
    <col min="1" max="1" width="27" customWidth="1"/>
  </cols>
  <sheetData>
    <row r="1" spans="1:5" x14ac:dyDescent="0.2">
      <c r="A1" t="s">
        <v>7</v>
      </c>
    </row>
    <row r="2" spans="1:5" x14ac:dyDescent="0.2">
      <c r="A2" t="s">
        <v>2</v>
      </c>
      <c r="B2">
        <v>4</v>
      </c>
    </row>
    <row r="3" spans="1:5" x14ac:dyDescent="0.2">
      <c r="A3" t="s">
        <v>8</v>
      </c>
      <c r="B3" s="1">
        <v>0.05</v>
      </c>
    </row>
    <row r="4" spans="1:5" x14ac:dyDescent="0.2">
      <c r="A4" t="s">
        <v>9</v>
      </c>
      <c r="B4" s="2">
        <v>100</v>
      </c>
    </row>
    <row r="5" spans="1:5" x14ac:dyDescent="0.2">
      <c r="A5" t="s">
        <v>10</v>
      </c>
      <c r="B5" s="1">
        <v>0.11</v>
      </c>
    </row>
    <row r="7" spans="1:5" x14ac:dyDescent="0.2">
      <c r="A7" t="s">
        <v>4</v>
      </c>
      <c r="B7" s="4">
        <v>1</v>
      </c>
      <c r="C7">
        <v>2</v>
      </c>
      <c r="D7">
        <v>3</v>
      </c>
      <c r="E7">
        <v>4</v>
      </c>
    </row>
    <row r="8" spans="1:5" x14ac:dyDescent="0.2">
      <c r="A8" t="s">
        <v>3</v>
      </c>
      <c r="B8" s="3">
        <f>$B$4*$B$3</f>
        <v>5</v>
      </c>
      <c r="C8" s="3">
        <f t="shared" ref="C8:E8" si="0">$B$4*$B$3</f>
        <v>5</v>
      </c>
      <c r="D8" s="3">
        <f t="shared" si="0"/>
        <v>5</v>
      </c>
      <c r="E8" s="3">
        <f>$B$4*$B$3+B4</f>
        <v>105</v>
      </c>
    </row>
    <row r="9" spans="1:5" x14ac:dyDescent="0.2">
      <c r="A9" t="s">
        <v>11</v>
      </c>
      <c r="B9" s="3">
        <f>B8/(1+$B$5)^B7</f>
        <v>4.5045045045045038</v>
      </c>
      <c r="C9" s="3">
        <f t="shared" ref="C9:E9" si="1">C8/(1+$B$5)^C7</f>
        <v>4.0581121662202735</v>
      </c>
      <c r="D9" s="3">
        <f t="shared" si="1"/>
        <v>3.655956906504751</v>
      </c>
      <c r="E9" s="3">
        <f t="shared" si="1"/>
        <v>69.166752285225016</v>
      </c>
    </row>
    <row r="10" spans="1:5" x14ac:dyDescent="0.2">
      <c r="A10" t="s">
        <v>12</v>
      </c>
      <c r="B10" s="3">
        <f>SUM(B9:E9)</f>
        <v>81.38532586245455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88C-2EF8-A246-9484-B0762C3CF47E}">
  <dimension ref="A1:E23"/>
  <sheetViews>
    <sheetView workbookViewId="0">
      <selection activeCell="F16" sqref="F16"/>
    </sheetView>
  </sheetViews>
  <sheetFormatPr baseColWidth="10" defaultRowHeight="16" x14ac:dyDescent="0.2"/>
  <cols>
    <col min="1" max="1" width="29.6640625" customWidth="1"/>
    <col min="2" max="2" width="21.5" customWidth="1"/>
  </cols>
  <sheetData>
    <row r="1" spans="1:5" x14ac:dyDescent="0.2">
      <c r="A1" t="s">
        <v>13</v>
      </c>
      <c r="B1" s="5">
        <v>0.04</v>
      </c>
    </row>
    <row r="2" spans="1:5" x14ac:dyDescent="0.2">
      <c r="A2" t="s">
        <v>14</v>
      </c>
      <c r="B2" s="6">
        <v>0.11</v>
      </c>
    </row>
    <row r="3" spans="1:5" x14ac:dyDescent="0.2">
      <c r="A3" t="s">
        <v>15</v>
      </c>
      <c r="B3" s="6">
        <v>0.1</v>
      </c>
    </row>
    <row r="4" spans="1:5" x14ac:dyDescent="0.2">
      <c r="A4" t="s">
        <v>16</v>
      </c>
      <c r="B4" s="6">
        <v>0.36</v>
      </c>
    </row>
    <row r="5" spans="1:5" x14ac:dyDescent="0.2">
      <c r="A5" t="s">
        <v>17</v>
      </c>
      <c r="B5" s="6">
        <v>0.35</v>
      </c>
    </row>
    <row r="6" spans="1:5" x14ac:dyDescent="0.2">
      <c r="A6" t="s">
        <v>18</v>
      </c>
      <c r="B6" s="6">
        <v>-0.9</v>
      </c>
    </row>
    <row r="7" spans="1:5" x14ac:dyDescent="0.2">
      <c r="A7" t="s">
        <v>19</v>
      </c>
      <c r="B7" s="6">
        <v>3</v>
      </c>
    </row>
    <row r="8" spans="1:5" x14ac:dyDescent="0.2">
      <c r="A8" t="s">
        <v>20</v>
      </c>
      <c r="B8" s="6" t="s">
        <v>21</v>
      </c>
    </row>
    <row r="12" spans="1:5" x14ac:dyDescent="0.2">
      <c r="B12" t="s">
        <v>22</v>
      </c>
      <c r="C12" t="s">
        <v>23</v>
      </c>
      <c r="D12" t="s">
        <v>24</v>
      </c>
      <c r="E12" t="s">
        <v>25</v>
      </c>
    </row>
    <row r="13" spans="1:5" x14ac:dyDescent="0.2">
      <c r="A13" t="s">
        <v>26</v>
      </c>
      <c r="B13">
        <v>0.77539999999999998</v>
      </c>
      <c r="C13">
        <v>0.22459999999999999</v>
      </c>
      <c r="D13">
        <v>0.93820000000000003</v>
      </c>
      <c r="E13">
        <v>0.6048</v>
      </c>
    </row>
    <row r="14" spans="1:5" x14ac:dyDescent="0.2">
      <c r="A14" t="s">
        <v>27</v>
      </c>
      <c r="B14">
        <f>1-B13</f>
        <v>0.22460000000000002</v>
      </c>
      <c r="C14">
        <f t="shared" ref="C14:E14" si="0">1-C13</f>
        <v>0.77539999999999998</v>
      </c>
      <c r="D14">
        <f t="shared" si="0"/>
        <v>6.1799999999999966E-2</v>
      </c>
      <c r="E14">
        <f t="shared" si="0"/>
        <v>0.3952</v>
      </c>
    </row>
    <row r="15" spans="1:5" x14ac:dyDescent="0.2">
      <c r="A15" t="s">
        <v>29</v>
      </c>
      <c r="B15" s="4">
        <f>$B$2*B13+$B$4*B14-$B$1</f>
        <v>0.12615000000000001</v>
      </c>
      <c r="C15" s="4">
        <f>$B$2*C13+$B$4*C14-$B$1</f>
        <v>0.26385000000000003</v>
      </c>
      <c r="D15" s="4">
        <f>$B$2*D13+$B$4*D14-$B$1</f>
        <v>8.544999999999997E-2</v>
      </c>
      <c r="E15" s="4">
        <f t="shared" ref="C15:E15" si="1">$B$2*E13+$B$4*E14-$B$1</f>
        <v>0.16879999999999998</v>
      </c>
    </row>
    <row r="16" spans="1:5" x14ac:dyDescent="0.2">
      <c r="A16" t="s">
        <v>30</v>
      </c>
      <c r="B16">
        <f>B13*B13*$B$3*$B$3+B14*B14*$B$5*$B$5+2*$B$3*$B$5*$B$6*B13*B14</f>
        <v>1.2202287800000006E-3</v>
      </c>
      <c r="C16">
        <f t="shared" ref="C16:E16" si="2">C13*C13*$B$3*$B$3+C14*C14*$B$5*$B$5+2*$B$3*$B$5*$B$6*C13*C14</f>
        <v>6.3185228779999991E-2</v>
      </c>
      <c r="D16">
        <f t="shared" si="2"/>
        <v>5.6172614200000037E-3</v>
      </c>
      <c r="E16">
        <f t="shared" si="2"/>
        <v>7.7321843199999966E-3</v>
      </c>
    </row>
    <row r="17" spans="1:5" x14ac:dyDescent="0.2">
      <c r="A17" t="s">
        <v>28</v>
      </c>
      <c r="B17">
        <f>B15/SQRT(B16)</f>
        <v>3.6113254033993698</v>
      </c>
      <c r="C17">
        <f t="shared" ref="C17:E17" si="3">C15/SQRT(C16)</f>
        <v>1.0496616187370709</v>
      </c>
      <c r="D17">
        <f t="shared" si="3"/>
        <v>1.1401178604337789</v>
      </c>
      <c r="E17">
        <f t="shared" si="3"/>
        <v>1.9196468615427942</v>
      </c>
    </row>
    <row r="21" spans="1:5" x14ac:dyDescent="0.2">
      <c r="A21" t="s">
        <v>32</v>
      </c>
      <c r="B21" s="7">
        <f>B13*B2+B14*B4+B1</f>
        <v>0.20615000000000003</v>
      </c>
    </row>
    <row r="22" spans="1:5" x14ac:dyDescent="0.2">
      <c r="A22" t="s">
        <v>33</v>
      </c>
      <c r="B22">
        <f>B21/(B7*2*B16)</f>
        <v>28.157288122095693</v>
      </c>
    </row>
    <row r="23" spans="1:5" x14ac:dyDescent="0.2">
      <c r="A23" t="s">
        <v>34</v>
      </c>
      <c r="B23" s="8">
        <f>B21-(3/2)*(B16^2)</f>
        <v>0.20614776656258671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80EA-FEA8-6340-84C4-BC972D072F6D}">
  <dimension ref="A1:A5"/>
  <sheetViews>
    <sheetView workbookViewId="0">
      <selection activeCell="G25" sqref="G25"/>
    </sheetView>
  </sheetViews>
  <sheetFormatPr baseColWidth="10" defaultRowHeight="16" x14ac:dyDescent="0.2"/>
  <sheetData>
    <row r="1" spans="1:1" x14ac:dyDescent="0.2">
      <c r="A1">
        <v>200</v>
      </c>
    </row>
    <row r="2" spans="1:1" x14ac:dyDescent="0.2">
      <c r="A2">
        <v>100</v>
      </c>
    </row>
    <row r="3" spans="1:1" x14ac:dyDescent="0.2">
      <c r="A3" s="1">
        <v>0.11</v>
      </c>
    </row>
    <row r="4" spans="1:1" x14ac:dyDescent="0.2">
      <c r="A4">
        <v>6</v>
      </c>
    </row>
    <row r="5" spans="1:1" x14ac:dyDescent="0.2">
      <c r="A5">
        <f>A2*A1/(1 + A3) ^ A4</f>
        <v>10692.816721775831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9F63-A1DA-134B-A5A6-128CA47C7C6D}">
  <dimension ref="A2:D10"/>
  <sheetViews>
    <sheetView workbookViewId="0">
      <selection activeCell="B10" sqref="B10"/>
    </sheetView>
  </sheetViews>
  <sheetFormatPr baseColWidth="10" defaultRowHeight="16" x14ac:dyDescent="0.2"/>
  <sheetData>
    <row r="2" spans="1:4" x14ac:dyDescent="0.2">
      <c r="B2" t="s">
        <v>36</v>
      </c>
      <c r="C2" t="s">
        <v>37</v>
      </c>
      <c r="D2" t="s">
        <v>32</v>
      </c>
    </row>
    <row r="3" spans="1:4" x14ac:dyDescent="0.2">
      <c r="A3" t="s">
        <v>35</v>
      </c>
      <c r="B3">
        <v>0.70579999999999998</v>
      </c>
      <c r="C3">
        <v>-1</v>
      </c>
      <c r="D3">
        <f>1-B3</f>
        <v>0.29420000000000002</v>
      </c>
    </row>
    <row r="4" spans="1:4" x14ac:dyDescent="0.2">
      <c r="A4" t="s">
        <v>32</v>
      </c>
      <c r="B4" s="1">
        <v>0.23</v>
      </c>
      <c r="C4" s="1">
        <v>0.12</v>
      </c>
      <c r="D4" s="1">
        <v>0.05</v>
      </c>
    </row>
    <row r="5" spans="1:4" x14ac:dyDescent="0.2">
      <c r="B5">
        <f>B4*B3</f>
        <v>0.16233400000000001</v>
      </c>
      <c r="C5">
        <f t="shared" ref="C5:D5" si="0">C4*C3</f>
        <v>-0.12</v>
      </c>
      <c r="D5">
        <f t="shared" si="0"/>
        <v>1.4710000000000001E-2</v>
      </c>
    </row>
    <row r="7" spans="1:4" x14ac:dyDescent="0.2">
      <c r="A7" t="s">
        <v>38</v>
      </c>
      <c r="B7">
        <f>SUM(B5:D5)</f>
        <v>5.7044000000000011E-2</v>
      </c>
    </row>
    <row r="8" spans="1:4" x14ac:dyDescent="0.2">
      <c r="A8" t="s">
        <v>39</v>
      </c>
      <c r="B8">
        <f>6000</f>
        <v>6000</v>
      </c>
    </row>
    <row r="9" spans="1:4" x14ac:dyDescent="0.2">
      <c r="A9" t="s">
        <v>40</v>
      </c>
      <c r="B9">
        <f>B7*B8</f>
        <v>342.26400000000007</v>
      </c>
    </row>
    <row r="10" spans="1:4" x14ac:dyDescent="0.2">
      <c r="B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Task_5</vt:lpstr>
      <vt:lpstr>Task_6</vt:lpstr>
      <vt:lpstr>Task_7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2019-10-14T17:00:44Z</dcterms:created>
  <dcterms:modified xsi:type="dcterms:W3CDTF">2019-10-15T19:05:06Z</dcterms:modified>
</cp:coreProperties>
</file>